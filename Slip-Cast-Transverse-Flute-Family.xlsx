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puts" sheetId="1" r:id="rId1"/>
    <sheet name="Fired Targets" sheetId="2" r:id="rId2"/>
    <sheet name="Master Scale" sheetId="3" r:id="rId3"/>
    <sheet name="Hole Schedule" sheetId="4" r:id="rId4"/>
    <sheet name="DoE Matrix" sheetId="5" r:id="rId5"/>
    <sheet name="Measurements" sheetId="6" r:id="rId6"/>
    <sheet name="Shrink Fit" sheetId="7" r:id="rId7"/>
  </sheets>
  <calcPr calcMode="auto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Slip-Cast Transverse Flute Family Inputs</t>
        </is>
      </c>
    </row>
    <row r="2">
      <c r="A2" t="inlineStr">
        <is>
          <t>Generated</t>
        </is>
      </c>
      <c r="B2" t="inlineStr">
        <is>
          <t>2026-05-02</t>
        </is>
      </c>
    </row>
    <row r="3">
      <c r="A3" t="inlineStr">
        <is>
          <t>Source basis</t>
        </is>
      </c>
      <c r="B3" t="inlineStr">
        <is>
          <t>Open-open flute model adapted from Tony's Flutes-AI.xlsx Irish Flute sheet</t>
        </is>
      </c>
    </row>
    <row r="4">
</row>
    <row r="5">
      <c r="A5" t="inlineStr">
        <is>
          <t>A4_Hz</t>
        </is>
      </c>
      <c r="B5">
        <v>440.0</v>
      </c>
    </row>
    <row r="6">
      <c r="A6" t="inlineStr">
        <is>
          <t>speed_of_sound_in_per_s_68F</t>
        </is>
      </c>
      <c r="B6">
        <v>13552.0</v>
      </c>
    </row>
    <row r="7">
      <c r="A7" t="inlineStr">
        <is>
          <t>shrink_x_initial</t>
        </is>
      </c>
      <c r="B7">
        <v>0.12</v>
      </c>
      <c r="C7" t="inlineStr">
        <is>
          <t>X axis = bore length and hole stations</t>
        </is>
      </c>
    </row>
    <row r="8">
      <c r="A8" t="inlineStr">
        <is>
          <t>shrink_y_initial</t>
        </is>
      </c>
      <c r="B8">
        <v>0.12</v>
      </c>
      <c r="C8" t="inlineStr">
        <is>
          <t>Y axis = side-to-side bore/OD and hole width</t>
        </is>
      </c>
    </row>
    <row r="9">
      <c r="A9" t="inlineStr">
        <is>
          <t>shrink_z_initial</t>
        </is>
      </c>
      <c r="B9">
        <v>0.12</v>
      </c>
      <c r="C9" t="inlineStr">
        <is>
          <t>Z axis = vertical OD/wall/ovalization</t>
        </is>
      </c>
    </row>
    <row r="10">
      <c r="A10" t="inlineStr">
        <is>
          <t>round2_rule</t>
        </is>
      </c>
      <c r="B10" t="inlineStr">
        <is>
          <t>new_master_axis = old_master_axis * target_fired_axis / measured_fired_axis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instrument_id</t>
        </is>
      </c>
      <c r="B1" t="inlineStr">
        <is>
          <t>variant</t>
        </is>
      </c>
      <c r="C1" t="inlineStr">
        <is>
          <t>key</t>
        </is>
      </c>
      <c r="D1" t="inlineStr">
        <is>
          <t>midi</t>
        </is>
      </c>
      <c r="E1" t="inlineStr">
        <is>
          <t>fundamental_hz</t>
        </is>
      </c>
      <c r="F1" t="inlineStr">
        <is>
          <t>bore_id_fired_in</t>
        </is>
      </c>
      <c r="G1" t="inlineStr">
        <is>
          <t>wall_fired_in</t>
        </is>
      </c>
      <c r="H1" t="inlineStr">
        <is>
          <t>od_fired_in</t>
        </is>
      </c>
      <c r="I1" t="inlineStr">
        <is>
          <t>acoustic_length_in</t>
        </is>
      </c>
      <c r="J1" t="inlineStr">
        <is>
          <t>end_correction_total_in</t>
        </is>
      </c>
      <c r="K1" t="inlineStr">
        <is>
          <t>sounding_length_in</t>
        </is>
      </c>
      <c r="L1" t="inlineStr">
        <is>
          <t>head_margin_in</t>
        </is>
      </c>
      <c r="M1" t="inlineStr">
        <is>
          <t>foot_trim_band_in</t>
        </is>
      </c>
      <c r="N1" t="inlineStr">
        <is>
          <t>pretrim_overall_fired_in</t>
        </is>
      </c>
      <c r="O1" t="inlineStr">
        <is>
          <t>embouchure_x_len_fired_in</t>
        </is>
      </c>
      <c r="P1" t="inlineStr">
        <is>
          <t>embouchure_y_width_fired_in</t>
        </is>
      </c>
    </row>
    <row r="2">
      <c r="A2" t="inlineStr">
        <is>
          <t>SCF-D4-01</t>
        </is>
      </c>
      <c r="B2" t="inlineStr">
        <is>
          <t>Low D reference</t>
        </is>
      </c>
      <c r="C2" t="inlineStr">
        <is>
          <t>D4</t>
        </is>
      </c>
      <c r="D2">
        <v>62</v>
      </c>
      <c r="E2">
        <f>Inputs!$B$5*2^((D2-69)/12)</f>
      </c>
      <c r="F2">
        <v>0.748</v>
      </c>
      <c r="G2">
        <v>0.14</v>
      </c>
      <c r="H2">
        <f>F2+2*G2</f>
      </c>
      <c r="I2">
        <f>Inputs!$B$6/(2*E2)</f>
      </c>
      <c r="J2">
        <f>0.6*F2</f>
      </c>
      <c r="K2">
        <f>I2-J2</f>
      </c>
      <c r="L2">
        <f>1.5*F2</f>
      </c>
      <c r="M2">
        <v>0.5</v>
      </c>
      <c r="N2">
        <f>K2+L2+M2</f>
      </c>
      <c r="O2">
        <f>0.63*F2</f>
      </c>
      <c r="P2">
        <f>0.52*F2</f>
      </c>
    </row>
    <row r="3">
      <c r="A3" t="inlineStr">
        <is>
          <t>SCF-F4-01</t>
        </is>
      </c>
      <c r="B3" t="inlineStr">
        <is>
          <t>F middle</t>
        </is>
      </c>
      <c r="C3" t="inlineStr">
        <is>
          <t>F4</t>
        </is>
      </c>
      <c r="D3">
        <v>65</v>
      </c>
      <c r="E3">
        <f>Inputs!$B$5*2^((D3-69)/12)</f>
      </c>
      <c r="F3">
        <v>0.669</v>
      </c>
      <c r="G3">
        <v>0.135</v>
      </c>
      <c r="H3">
        <f>F3+2*G3</f>
      </c>
      <c r="I3">
        <f>Inputs!$B$6/(2*E3)</f>
      </c>
      <c r="J3">
        <f>0.6*F3</f>
      </c>
      <c r="K3">
        <f>I3-J3</f>
      </c>
      <c r="L3">
        <f>1.5*F3</f>
      </c>
      <c r="M3">
        <v>0.5</v>
      </c>
      <c r="N3">
        <f>K3+L3+M3</f>
      </c>
      <c r="O3">
        <f>0.63*F3</f>
      </c>
      <c r="P3">
        <f>0.52*F3</f>
      </c>
    </row>
    <row r="4">
      <c r="A4" t="inlineStr">
        <is>
          <t>SCF-G4-01</t>
        </is>
      </c>
      <c r="B4" t="inlineStr">
        <is>
          <t>G middle</t>
        </is>
      </c>
      <c r="C4" t="inlineStr">
        <is>
          <t>G4</t>
        </is>
      </c>
      <c r="D4">
        <v>67</v>
      </c>
      <c r="E4">
        <f>Inputs!$B$5*2^((D4-69)/12)</f>
      </c>
      <c r="F4">
        <v>0.669</v>
      </c>
      <c r="G4">
        <v>0.13</v>
      </c>
      <c r="H4">
        <f>F4+2*G4</f>
      </c>
      <c r="I4">
        <f>Inputs!$B$6/(2*E4)</f>
      </c>
      <c r="J4">
        <f>0.6*F4</f>
      </c>
      <c r="K4">
        <f>I4-J4</f>
      </c>
      <c r="L4">
        <f>1.5*F4</f>
      </c>
      <c r="M4">
        <v>0.5</v>
      </c>
      <c r="N4">
        <f>K4+L4+M4</f>
      </c>
      <c r="O4">
        <f>0.63*F4</f>
      </c>
      <c r="P4">
        <f>0.52*F4</f>
      </c>
    </row>
    <row r="5">
      <c r="A5" t="inlineStr">
        <is>
          <t>SCF-A4-01</t>
        </is>
      </c>
      <c r="B5" t="inlineStr">
        <is>
          <t>A small alto</t>
        </is>
      </c>
      <c r="C5" t="inlineStr">
        <is>
          <t>A4</t>
        </is>
      </c>
      <c r="D5">
        <v>69</v>
      </c>
      <c r="E5">
        <f>Inputs!$B$5*2^((D5-69)/12)</f>
      </c>
      <c r="F5">
        <v>0.591</v>
      </c>
      <c r="G5">
        <v>0.125</v>
      </c>
      <c r="H5">
        <f>F5+2*G5</f>
      </c>
      <c r="I5">
        <f>Inputs!$B$6/(2*E5)</f>
      </c>
      <c r="J5">
        <f>0.6*F5</f>
      </c>
      <c r="K5">
        <f>I5-J5</f>
      </c>
      <c r="L5">
        <f>1.5*F5</f>
      </c>
      <c r="M5">
        <v>0.5</v>
      </c>
      <c r="N5">
        <f>K5+L5+M5</f>
      </c>
      <c r="O5">
        <f>0.63*F5</f>
      </c>
      <c r="P5">
        <f>0.52*F5</f>
      </c>
    </row>
    <row r="6">
      <c r="A6" t="inlineStr">
        <is>
          <t>SCF-C5-01</t>
        </is>
      </c>
      <c r="B6" t="inlineStr">
        <is>
          <t>C soprano</t>
        </is>
      </c>
      <c r="C6" t="inlineStr">
        <is>
          <t>C5</t>
        </is>
      </c>
      <c r="D6">
        <v>72</v>
      </c>
      <c r="E6">
        <f>Inputs!$B$5*2^((D6-69)/12)</f>
      </c>
      <c r="F6">
        <v>0.512</v>
      </c>
      <c r="G6">
        <v>0.115</v>
      </c>
      <c r="H6">
        <f>F6+2*G6</f>
      </c>
      <c r="I6">
        <f>Inputs!$B$6/(2*E6)</f>
      </c>
      <c r="J6">
        <f>0.6*F6</f>
      </c>
      <c r="K6">
        <f>I6-J6</f>
      </c>
      <c r="L6">
        <f>1.5*F6</f>
      </c>
      <c r="M6">
        <v>0.5</v>
      </c>
      <c r="N6">
        <f>K6+L6+M6</f>
      </c>
      <c r="O6">
        <f>0.63*F6</f>
      </c>
      <c r="P6">
        <f>0.52*F6</f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instrument_id</t>
        </is>
      </c>
      <c r="B1" t="inlineStr">
        <is>
          <t>master_overall_x_in</t>
        </is>
      </c>
      <c r="C1" t="inlineStr">
        <is>
          <t>master_bore_y_in</t>
        </is>
      </c>
      <c r="D1" t="inlineStr">
        <is>
          <t>master_od_y_in</t>
        </is>
      </c>
      <c r="E1" t="inlineStr">
        <is>
          <t>master_od_z_in</t>
        </is>
      </c>
      <c r="F1" t="inlineStr">
        <is>
          <t>master_emb_x_in</t>
        </is>
      </c>
      <c r="G1" t="inlineStr">
        <is>
          <t>master_emb_y_in</t>
        </is>
      </c>
      <c r="H1" t="inlineStr">
        <is>
          <t>formula_note</t>
        </is>
      </c>
    </row>
    <row r="2">
      <c r="A2" t="inlineStr">
        <is>
          <t>SCF-D4-01</t>
        </is>
      </c>
      <c r="B2">
        <f>'Fired Targets'!N2/(1-Inputs!$B$7)</f>
      </c>
      <c r="C2">
        <f>'Fired Targets'!F2/(1-Inputs!$B$8)</f>
      </c>
      <c r="D2">
        <f>'Fired Targets'!H2/(1-Inputs!$B$8)</f>
      </c>
      <c r="E2">
        <f>'Fired Targets'!H2/(1-Inputs!$B$9)</f>
      </c>
      <c r="F2">
        <f>'Fired Targets'!O2/(1-Inputs!$B$7)</f>
      </c>
      <c r="G2">
        <f>'Fired Targets'!P2/(1-Inputs!$B$8)</f>
      </c>
      <c r="H2" t="inlineStr">
        <is>
          <t>Update Inputs B7:B9 after Round 1 measurement.</t>
        </is>
      </c>
    </row>
    <row r="3">
      <c r="A3" t="inlineStr">
        <is>
          <t>SCF-F4-01</t>
        </is>
      </c>
      <c r="B3">
        <f>'Fired Targets'!N3/(1-Inputs!$B$7)</f>
      </c>
      <c r="C3">
        <f>'Fired Targets'!F3/(1-Inputs!$B$8)</f>
      </c>
      <c r="D3">
        <f>'Fired Targets'!H3/(1-Inputs!$B$8)</f>
      </c>
      <c r="E3">
        <f>'Fired Targets'!H3/(1-Inputs!$B$9)</f>
      </c>
      <c r="F3">
        <f>'Fired Targets'!O3/(1-Inputs!$B$7)</f>
      </c>
      <c r="G3">
        <f>'Fired Targets'!P3/(1-Inputs!$B$8)</f>
      </c>
      <c r="H3" t="inlineStr">
        <is>
          <t>Update Inputs B7:B9 after Round 1 measurement.</t>
        </is>
      </c>
    </row>
    <row r="4">
      <c r="A4" t="inlineStr">
        <is>
          <t>SCF-G4-01</t>
        </is>
      </c>
      <c r="B4">
        <f>'Fired Targets'!N4/(1-Inputs!$B$7)</f>
      </c>
      <c r="C4">
        <f>'Fired Targets'!F4/(1-Inputs!$B$8)</f>
      </c>
      <c r="D4">
        <f>'Fired Targets'!H4/(1-Inputs!$B$8)</f>
      </c>
      <c r="E4">
        <f>'Fired Targets'!H4/(1-Inputs!$B$9)</f>
      </c>
      <c r="F4">
        <f>'Fired Targets'!O4/(1-Inputs!$B$7)</f>
      </c>
      <c r="G4">
        <f>'Fired Targets'!P4/(1-Inputs!$B$8)</f>
      </c>
      <c r="H4" t="inlineStr">
        <is>
          <t>Update Inputs B7:B9 after Round 1 measurement.</t>
        </is>
      </c>
    </row>
    <row r="5">
      <c r="A5" t="inlineStr">
        <is>
          <t>SCF-A4-01</t>
        </is>
      </c>
      <c r="B5">
        <f>'Fired Targets'!N5/(1-Inputs!$B$7)</f>
      </c>
      <c r="C5">
        <f>'Fired Targets'!F5/(1-Inputs!$B$8)</f>
      </c>
      <c r="D5">
        <f>'Fired Targets'!H5/(1-Inputs!$B$8)</f>
      </c>
      <c r="E5">
        <f>'Fired Targets'!H5/(1-Inputs!$B$9)</f>
      </c>
      <c r="F5">
        <f>'Fired Targets'!O5/(1-Inputs!$B$7)</f>
      </c>
      <c r="G5">
        <f>'Fired Targets'!P5/(1-Inputs!$B$8)</f>
      </c>
      <c r="H5" t="inlineStr">
        <is>
          <t>Update Inputs B7:B9 after Round 1 measurement.</t>
        </is>
      </c>
    </row>
    <row r="6">
      <c r="A6" t="inlineStr">
        <is>
          <t>SCF-C5-01</t>
        </is>
      </c>
      <c r="B6">
        <f>'Fired Targets'!N6/(1-Inputs!$B$7)</f>
      </c>
      <c r="C6">
        <f>'Fired Targets'!F6/(1-Inputs!$B$8)</f>
      </c>
      <c r="D6">
        <f>'Fired Targets'!H6/(1-Inputs!$B$8)</f>
      </c>
      <c r="E6">
        <f>'Fired Targets'!H6/(1-Inputs!$B$9)</f>
      </c>
      <c r="F6">
        <f>'Fired Targets'!O6/(1-Inputs!$B$7)</f>
      </c>
      <c r="G6">
        <f>'Fired Targets'!P6/(1-Inputs!$B$8)</f>
      </c>
      <c r="H6" t="inlineStr">
        <is>
          <t>Update Inputs B7:B9 after Round 1 measurement.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instrument_id</t>
        </is>
      </c>
      <c r="B1" t="inlineStr">
        <is>
          <t>key</t>
        </is>
      </c>
      <c r="C1" t="inlineStr">
        <is>
          <t>hole_no</t>
        </is>
      </c>
      <c r="D1" t="inlineStr">
        <is>
          <t>interval</t>
        </is>
      </c>
      <c r="E1" t="inlineStr">
        <is>
          <t>target_note</t>
        </is>
      </c>
      <c r="F1" t="inlineStr">
        <is>
          <t>target_frequency_hz</t>
        </is>
      </c>
      <c r="G1" t="inlineStr">
        <is>
          <t>fired_center_from_foot_in</t>
        </is>
      </c>
      <c r="H1" t="inlineStr">
        <is>
          <t>fired_center_from_head_in</t>
        </is>
      </c>
      <c r="I1" t="inlineStr">
        <is>
          <t>fired_hole_diameter_in</t>
        </is>
      </c>
      <c r="J1" t="inlineStr">
        <is>
          <t>leather_hard_pilot_dia_in_85pct</t>
        </is>
      </c>
      <c r="K1" t="inlineStr">
        <is>
          <t>notes</t>
        </is>
      </c>
    </row>
    <row r="2">
      <c r="A2" t="inlineStr">
        <is>
          <t>SCF-D4-01</t>
        </is>
      </c>
      <c r="B2" t="inlineStr">
        <is>
          <t>D4</t>
        </is>
      </c>
      <c r="C2">
        <v>1</v>
      </c>
      <c r="D2">
        <v>2</v>
      </c>
      <c r="E2" t="inlineStr">
        <is>
          <t>E4</t>
        </is>
      </c>
      <c r="F2">
        <v>329.628</v>
      </c>
      <c r="G2">
        <v>20.557</v>
      </c>
      <c r="H2">
        <v>3.191</v>
      </c>
      <c r="I2">
        <v>0.254</v>
      </c>
      <c r="J2">
        <v>0.246</v>
      </c>
      <c r="K2" t="inlineStr">
        <is>
          <t>First-pass station; cut undersize and tune after bisque.</t>
        </is>
      </c>
    </row>
    <row r="3">
      <c r="A3" t="inlineStr">
        <is>
          <t>SCF-D4-01</t>
        </is>
      </c>
      <c r="B3" t="inlineStr">
        <is>
          <t>D4</t>
        </is>
      </c>
      <c r="C3">
        <v>2</v>
      </c>
      <c r="D3">
        <v>4</v>
      </c>
      <c r="E3" t="inlineStr">
        <is>
          <t>Gb4</t>
        </is>
      </c>
      <c r="F3">
        <v>369.994</v>
      </c>
      <c r="G3">
        <v>18.314</v>
      </c>
      <c r="H3">
        <v>5.433</v>
      </c>
      <c r="I3">
        <v>0.269</v>
      </c>
      <c r="J3">
        <v>0.26</v>
      </c>
      <c r="K3" t="inlineStr">
        <is>
          <t>First-pass station; cut undersize and tune after bisque.</t>
        </is>
      </c>
    </row>
    <row r="4">
      <c r="A4" t="inlineStr">
        <is>
          <t>SCF-D4-01</t>
        </is>
      </c>
      <c r="B4" t="inlineStr">
        <is>
          <t>D4</t>
        </is>
      </c>
      <c r="C4">
        <v>3</v>
      </c>
      <c r="D4">
        <v>5</v>
      </c>
      <c r="E4" t="inlineStr">
        <is>
          <t>G4</t>
        </is>
      </c>
      <c r="F4">
        <v>391.995</v>
      </c>
      <c r="G4">
        <v>17.286</v>
      </c>
      <c r="H4">
        <v>6.461</v>
      </c>
      <c r="I4">
        <v>0.284</v>
      </c>
      <c r="J4">
        <v>0.275</v>
      </c>
      <c r="K4" t="inlineStr">
        <is>
          <t>First-pass station; cut undersize and tune after bisque.</t>
        </is>
      </c>
    </row>
    <row r="5">
      <c r="A5" t="inlineStr">
        <is>
          <t>SCF-D4-01</t>
        </is>
      </c>
      <c r="B5" t="inlineStr">
        <is>
          <t>D4</t>
        </is>
      </c>
      <c r="C5">
        <v>4</v>
      </c>
      <c r="D5">
        <v>7</v>
      </c>
      <c r="E5" t="inlineStr">
        <is>
          <t>A4</t>
        </is>
      </c>
      <c r="F5">
        <v>440.0</v>
      </c>
      <c r="G5">
        <v>15.4</v>
      </c>
      <c r="H5">
        <v>8.347</v>
      </c>
      <c r="I5">
        <v>0.299</v>
      </c>
      <c r="J5">
        <v>0.289</v>
      </c>
      <c r="K5" t="inlineStr">
        <is>
          <t>First-pass station; cut undersize and tune after bisque.</t>
        </is>
      </c>
    </row>
    <row r="6">
      <c r="A6" t="inlineStr">
        <is>
          <t>SCF-D4-01</t>
        </is>
      </c>
      <c r="B6" t="inlineStr">
        <is>
          <t>D4</t>
        </is>
      </c>
      <c r="C6">
        <v>5</v>
      </c>
      <c r="D6">
        <v>9</v>
      </c>
      <c r="E6" t="inlineStr">
        <is>
          <t>B4</t>
        </is>
      </c>
      <c r="F6">
        <v>493.883</v>
      </c>
      <c r="G6">
        <v>13.72</v>
      </c>
      <c r="H6">
        <v>10.027</v>
      </c>
      <c r="I6">
        <v>0.322</v>
      </c>
      <c r="J6">
        <v>0.311</v>
      </c>
      <c r="K6" t="inlineStr">
        <is>
          <t>First-pass station; cut undersize and tune after bisque.</t>
        </is>
      </c>
    </row>
    <row r="7">
      <c r="A7" t="inlineStr">
        <is>
          <t>SCF-D4-01</t>
        </is>
      </c>
      <c r="B7" t="inlineStr">
        <is>
          <t>D4</t>
        </is>
      </c>
      <c r="C7">
        <v>6</v>
      </c>
      <c r="D7">
        <v>11</v>
      </c>
      <c r="E7" t="inlineStr">
        <is>
          <t>Db5</t>
        </is>
      </c>
      <c r="F7">
        <v>554.365</v>
      </c>
      <c r="G7">
        <v>12.223</v>
      </c>
      <c r="H7">
        <v>11.524</v>
      </c>
      <c r="I7">
        <v>0.344</v>
      </c>
      <c r="J7">
        <v>0.332</v>
      </c>
      <c r="K7" t="inlineStr">
        <is>
          <t>First-pass station; cut undersize and tune after bisque.</t>
        </is>
      </c>
    </row>
    <row r="8">
      <c r="A8" t="inlineStr">
        <is>
          <t>SCF-F4-01</t>
        </is>
      </c>
      <c r="B8" t="inlineStr">
        <is>
          <t>F4</t>
        </is>
      </c>
      <c r="C8">
        <v>1</v>
      </c>
      <c r="D8">
        <v>2</v>
      </c>
      <c r="E8" t="inlineStr">
        <is>
          <t>G4</t>
        </is>
      </c>
      <c r="F8">
        <v>391.995</v>
      </c>
      <c r="G8">
        <v>17.286</v>
      </c>
      <c r="H8">
        <v>2.719</v>
      </c>
      <c r="I8">
        <v>0.227</v>
      </c>
      <c r="J8">
        <v>0.22</v>
      </c>
      <c r="K8" t="inlineStr">
        <is>
          <t>First-pass station; cut undersize and tune after bisque.</t>
        </is>
      </c>
    </row>
    <row r="9">
      <c r="A9" t="inlineStr">
        <is>
          <t>SCF-F4-01</t>
        </is>
      </c>
      <c r="B9" t="inlineStr">
        <is>
          <t>F4</t>
        </is>
      </c>
      <c r="C9">
        <v>2</v>
      </c>
      <c r="D9">
        <v>4</v>
      </c>
      <c r="E9" t="inlineStr">
        <is>
          <t>A4</t>
        </is>
      </c>
      <c r="F9">
        <v>440.0</v>
      </c>
      <c r="G9">
        <v>15.4</v>
      </c>
      <c r="H9">
        <v>4.605</v>
      </c>
      <c r="I9">
        <v>0.241</v>
      </c>
      <c r="J9">
        <v>0.233</v>
      </c>
      <c r="K9" t="inlineStr">
        <is>
          <t>First-pass station; cut undersize and tune after bisque.</t>
        </is>
      </c>
    </row>
    <row r="10">
      <c r="A10" t="inlineStr">
        <is>
          <t>SCF-F4-01</t>
        </is>
      </c>
      <c r="B10" t="inlineStr">
        <is>
          <t>F4</t>
        </is>
      </c>
      <c r="C10">
        <v>3</v>
      </c>
      <c r="D10">
        <v>5</v>
      </c>
      <c r="E10" t="inlineStr">
        <is>
          <t>Bb4</t>
        </is>
      </c>
      <c r="F10">
        <v>466.164</v>
      </c>
      <c r="G10">
        <v>14.536</v>
      </c>
      <c r="H10">
        <v>5.469</v>
      </c>
      <c r="I10">
        <v>0.254</v>
      </c>
      <c r="J10">
        <v>0.246</v>
      </c>
      <c r="K10" t="inlineStr">
        <is>
          <t>First-pass station; cut undersize and tune after bisque.</t>
        </is>
      </c>
    </row>
    <row r="11">
      <c r="A11" t="inlineStr">
        <is>
          <t>SCF-F4-01</t>
        </is>
      </c>
      <c r="B11" t="inlineStr">
        <is>
          <t>F4</t>
        </is>
      </c>
      <c r="C11">
        <v>4</v>
      </c>
      <c r="D11">
        <v>7</v>
      </c>
      <c r="E11" t="inlineStr">
        <is>
          <t>C5</t>
        </is>
      </c>
      <c r="F11">
        <v>523.251</v>
      </c>
      <c r="G11">
        <v>12.95</v>
      </c>
      <c r="H11">
        <v>7.055</v>
      </c>
      <c r="I11">
        <v>0.268</v>
      </c>
      <c r="J11">
        <v>0.258</v>
      </c>
      <c r="K11" t="inlineStr">
        <is>
          <t>First-pass station; cut undersize and tune after bisque.</t>
        </is>
      </c>
    </row>
    <row r="12">
      <c r="A12" t="inlineStr">
        <is>
          <t>SCF-F4-01</t>
        </is>
      </c>
      <c r="B12" t="inlineStr">
        <is>
          <t>F4</t>
        </is>
      </c>
      <c r="C12">
        <v>5</v>
      </c>
      <c r="D12">
        <v>9</v>
      </c>
      <c r="E12" t="inlineStr">
        <is>
          <t>D5</t>
        </is>
      </c>
      <c r="F12">
        <v>587.33</v>
      </c>
      <c r="G12">
        <v>11.537</v>
      </c>
      <c r="H12">
        <v>8.468</v>
      </c>
      <c r="I12">
        <v>0.288</v>
      </c>
      <c r="J12">
        <v>0.278</v>
      </c>
      <c r="K12" t="inlineStr">
        <is>
          <t>First-pass station; cut undersize and tune after bisque.</t>
        </is>
      </c>
    </row>
    <row r="13">
      <c r="A13" t="inlineStr">
        <is>
          <t>SCF-F4-01</t>
        </is>
      </c>
      <c r="B13" t="inlineStr">
        <is>
          <t>F4</t>
        </is>
      </c>
      <c r="C13">
        <v>6</v>
      </c>
      <c r="D13">
        <v>11</v>
      </c>
      <c r="E13" t="inlineStr">
        <is>
          <t>E5</t>
        </is>
      </c>
      <c r="F13">
        <v>659.255</v>
      </c>
      <c r="G13">
        <v>10.278</v>
      </c>
      <c r="H13">
        <v>9.727</v>
      </c>
      <c r="I13">
        <v>0.308</v>
      </c>
      <c r="J13">
        <v>0.297</v>
      </c>
      <c r="K13" t="inlineStr">
        <is>
          <t>First-pass station; cut undersize and tune after bisque.</t>
        </is>
      </c>
    </row>
    <row r="14">
      <c r="A14" t="inlineStr">
        <is>
          <t>SCF-G4-01</t>
        </is>
      </c>
      <c r="B14" t="inlineStr">
        <is>
          <t>G4</t>
        </is>
      </c>
      <c r="C14">
        <v>1</v>
      </c>
      <c r="D14">
        <v>2</v>
      </c>
      <c r="E14" t="inlineStr">
        <is>
          <t>A4</t>
        </is>
      </c>
      <c r="F14">
        <v>440.0</v>
      </c>
      <c r="G14">
        <v>15.4</v>
      </c>
      <c r="H14">
        <v>2.488</v>
      </c>
      <c r="I14">
        <v>0.227</v>
      </c>
      <c r="J14">
        <v>0.22</v>
      </c>
      <c r="K14" t="inlineStr">
        <is>
          <t>First-pass station; cut undersize and tune after bisque.</t>
        </is>
      </c>
    </row>
    <row r="15">
      <c r="A15" t="inlineStr">
        <is>
          <t>SCF-G4-01</t>
        </is>
      </c>
      <c r="B15" t="inlineStr">
        <is>
          <t>G4</t>
        </is>
      </c>
      <c r="C15">
        <v>2</v>
      </c>
      <c r="D15">
        <v>4</v>
      </c>
      <c r="E15" t="inlineStr">
        <is>
          <t>B4</t>
        </is>
      </c>
      <c r="F15">
        <v>493.883</v>
      </c>
      <c r="G15">
        <v>13.72</v>
      </c>
      <c r="H15">
        <v>4.168</v>
      </c>
      <c r="I15">
        <v>0.241</v>
      </c>
      <c r="J15">
        <v>0.233</v>
      </c>
      <c r="K15" t="inlineStr">
        <is>
          <t>First-pass station; cut undersize and tune after bisque.</t>
        </is>
      </c>
    </row>
    <row r="16">
      <c r="A16" t="inlineStr">
        <is>
          <t>SCF-G4-01</t>
        </is>
      </c>
      <c r="B16" t="inlineStr">
        <is>
          <t>G4</t>
        </is>
      </c>
      <c r="C16">
        <v>3</v>
      </c>
      <c r="D16">
        <v>5</v>
      </c>
      <c r="E16" t="inlineStr">
        <is>
          <t>C5</t>
        </is>
      </c>
      <c r="F16">
        <v>523.251</v>
      </c>
      <c r="G16">
        <v>12.95</v>
      </c>
      <c r="H16">
        <v>4.938</v>
      </c>
      <c r="I16">
        <v>0.254</v>
      </c>
      <c r="J16">
        <v>0.246</v>
      </c>
      <c r="K16" t="inlineStr">
        <is>
          <t>First-pass station; cut undersize and tune after bisque.</t>
        </is>
      </c>
    </row>
    <row r="17">
      <c r="A17" t="inlineStr">
        <is>
          <t>SCF-G4-01</t>
        </is>
      </c>
      <c r="B17" t="inlineStr">
        <is>
          <t>G4</t>
        </is>
      </c>
      <c r="C17">
        <v>4</v>
      </c>
      <c r="D17">
        <v>7</v>
      </c>
      <c r="E17" t="inlineStr">
        <is>
          <t>D5</t>
        </is>
      </c>
      <c r="F17">
        <v>587.33</v>
      </c>
      <c r="G17">
        <v>11.537</v>
      </c>
      <c r="H17">
        <v>6.351</v>
      </c>
      <c r="I17">
        <v>0.268</v>
      </c>
      <c r="J17">
        <v>0.258</v>
      </c>
      <c r="K17" t="inlineStr">
        <is>
          <t>First-pass station; cut undersize and tune after bisque.</t>
        </is>
      </c>
    </row>
    <row r="18">
      <c r="A18" t="inlineStr">
        <is>
          <t>SCF-G4-01</t>
        </is>
      </c>
      <c r="B18" t="inlineStr">
        <is>
          <t>G4</t>
        </is>
      </c>
      <c r="C18">
        <v>5</v>
      </c>
      <c r="D18">
        <v>9</v>
      </c>
      <c r="E18" t="inlineStr">
        <is>
          <t>E5</t>
        </is>
      </c>
      <c r="F18">
        <v>659.255</v>
      </c>
      <c r="G18">
        <v>10.278</v>
      </c>
      <c r="H18">
        <v>7.61</v>
      </c>
      <c r="I18">
        <v>0.288</v>
      </c>
      <c r="J18">
        <v>0.278</v>
      </c>
      <c r="K18" t="inlineStr">
        <is>
          <t>First-pass station; cut undersize and tune after bisque.</t>
        </is>
      </c>
    </row>
    <row r="19">
      <c r="A19" t="inlineStr">
        <is>
          <t>SCF-G4-01</t>
        </is>
      </c>
      <c r="B19" t="inlineStr">
        <is>
          <t>G4</t>
        </is>
      </c>
      <c r="C19">
        <v>6</v>
      </c>
      <c r="D19">
        <v>11</v>
      </c>
      <c r="E19" t="inlineStr">
        <is>
          <t>Gb5</t>
        </is>
      </c>
      <c r="F19">
        <v>739.989</v>
      </c>
      <c r="G19">
        <v>9.157</v>
      </c>
      <c r="H19">
        <v>8.731</v>
      </c>
      <c r="I19">
        <v>0.308</v>
      </c>
      <c r="J19">
        <v>0.297</v>
      </c>
      <c r="K19" t="inlineStr">
        <is>
          <t>First-pass station; cut undersize and tune after bisque.</t>
        </is>
      </c>
    </row>
    <row r="20">
      <c r="A20" t="inlineStr">
        <is>
          <t>SCF-A4-01</t>
        </is>
      </c>
      <c r="B20" t="inlineStr">
        <is>
          <t>A4</t>
        </is>
      </c>
      <c r="C20">
        <v>1</v>
      </c>
      <c r="D20">
        <v>2</v>
      </c>
      <c r="E20" t="inlineStr">
        <is>
          <t>B4</t>
        </is>
      </c>
      <c r="F20">
        <v>493.883</v>
      </c>
      <c r="G20">
        <v>13.72</v>
      </c>
      <c r="H20">
        <v>2.212</v>
      </c>
      <c r="I20">
        <v>0.201</v>
      </c>
      <c r="J20">
        <v>0.194</v>
      </c>
      <c r="K20" t="inlineStr">
        <is>
          <t>First-pass station; cut undersize and tune after bisque.</t>
        </is>
      </c>
    </row>
    <row r="21">
      <c r="A21" t="inlineStr">
        <is>
          <t>SCF-A4-01</t>
        </is>
      </c>
      <c r="B21" t="inlineStr">
        <is>
          <t>A4</t>
        </is>
      </c>
      <c r="C21">
        <v>2</v>
      </c>
      <c r="D21">
        <v>4</v>
      </c>
      <c r="E21" t="inlineStr">
        <is>
          <t>Db5</t>
        </is>
      </c>
      <c r="F21">
        <v>554.365</v>
      </c>
      <c r="G21">
        <v>12.223</v>
      </c>
      <c r="H21">
        <v>3.709</v>
      </c>
      <c r="I21">
        <v>0.213</v>
      </c>
      <c r="J21">
        <v>0.206</v>
      </c>
      <c r="K21" t="inlineStr">
        <is>
          <t>First-pass station; cut undersize and tune after bisque.</t>
        </is>
      </c>
    </row>
    <row r="22">
      <c r="A22" t="inlineStr">
        <is>
          <t>SCF-A4-01</t>
        </is>
      </c>
      <c r="B22" t="inlineStr">
        <is>
          <t>A4</t>
        </is>
      </c>
      <c r="C22">
        <v>3</v>
      </c>
      <c r="D22">
        <v>5</v>
      </c>
      <c r="E22" t="inlineStr">
        <is>
          <t>D5</t>
        </is>
      </c>
      <c r="F22">
        <v>587.33</v>
      </c>
      <c r="G22">
        <v>11.537</v>
      </c>
      <c r="H22">
        <v>4.395</v>
      </c>
      <c r="I22">
        <v>0.225</v>
      </c>
      <c r="J22">
        <v>0.217</v>
      </c>
      <c r="K22" t="inlineStr">
        <is>
          <t>First-pass station; cut undersize and tune after bisque.</t>
        </is>
      </c>
    </row>
    <row r="23">
      <c r="A23" t="inlineStr">
        <is>
          <t>SCF-A4-01</t>
        </is>
      </c>
      <c r="B23" t="inlineStr">
        <is>
          <t>A4</t>
        </is>
      </c>
      <c r="C23">
        <v>4</v>
      </c>
      <c r="D23">
        <v>7</v>
      </c>
      <c r="E23" t="inlineStr">
        <is>
          <t>E5</t>
        </is>
      </c>
      <c r="F23">
        <v>659.255</v>
      </c>
      <c r="G23">
        <v>10.278</v>
      </c>
      <c r="H23">
        <v>5.654</v>
      </c>
      <c r="I23">
        <v>0.236</v>
      </c>
      <c r="J23">
        <v>0.228</v>
      </c>
      <c r="K23" t="inlineStr">
        <is>
          <t>First-pass station; cut undersize and tune after bisque.</t>
        </is>
      </c>
    </row>
    <row r="24">
      <c r="A24" t="inlineStr">
        <is>
          <t>SCF-A4-01</t>
        </is>
      </c>
      <c r="B24" t="inlineStr">
        <is>
          <t>A4</t>
        </is>
      </c>
      <c r="C24">
        <v>5</v>
      </c>
      <c r="D24">
        <v>9</v>
      </c>
      <c r="E24" t="inlineStr">
        <is>
          <t>Gb5</t>
        </is>
      </c>
      <c r="F24">
        <v>739.989</v>
      </c>
      <c r="G24">
        <v>9.157</v>
      </c>
      <c r="H24">
        <v>6.775</v>
      </c>
      <c r="I24">
        <v>0.254</v>
      </c>
      <c r="J24">
        <v>0.245</v>
      </c>
      <c r="K24" t="inlineStr">
        <is>
          <t>First-pass station; cut undersize and tune after bisque.</t>
        </is>
      </c>
    </row>
    <row r="25">
      <c r="A25" t="inlineStr">
        <is>
          <t>SCF-A4-01</t>
        </is>
      </c>
      <c r="B25" t="inlineStr">
        <is>
          <t>A4</t>
        </is>
      </c>
      <c r="C25">
        <v>6</v>
      </c>
      <c r="D25">
        <v>11</v>
      </c>
      <c r="E25" t="inlineStr">
        <is>
          <t>Ab5</t>
        </is>
      </c>
      <c r="F25">
        <v>830.609</v>
      </c>
      <c r="G25">
        <v>8.158</v>
      </c>
      <c r="H25">
        <v>7.774</v>
      </c>
      <c r="I25">
        <v>0.272</v>
      </c>
      <c r="J25">
        <v>0.263</v>
      </c>
      <c r="K25" t="inlineStr">
        <is>
          <t>First-pass station; cut undersize and tune after bisque.</t>
        </is>
      </c>
    </row>
    <row r="26">
      <c r="A26" t="inlineStr">
        <is>
          <t>SCF-C5-01</t>
        </is>
      </c>
      <c r="B26" t="inlineStr">
        <is>
          <t>C5</t>
        </is>
      </c>
      <c r="C26">
        <v>1</v>
      </c>
      <c r="D26">
        <v>2</v>
      </c>
      <c r="E26" t="inlineStr">
        <is>
          <t>D5</t>
        </is>
      </c>
      <c r="F26">
        <v>587.33</v>
      </c>
      <c r="G26">
        <v>11.537</v>
      </c>
      <c r="H26">
        <v>1.874</v>
      </c>
      <c r="I26">
        <v>0.174</v>
      </c>
      <c r="J26">
        <v>0.168</v>
      </c>
      <c r="K26" t="inlineStr">
        <is>
          <t>First-pass station; cut undersize and tune after bisque.</t>
        </is>
      </c>
    </row>
    <row r="27">
      <c r="A27" t="inlineStr">
        <is>
          <t>SCF-C5-01</t>
        </is>
      </c>
      <c r="B27" t="inlineStr">
        <is>
          <t>C5</t>
        </is>
      </c>
      <c r="C27">
        <v>2</v>
      </c>
      <c r="D27">
        <v>4</v>
      </c>
      <c r="E27" t="inlineStr">
        <is>
          <t>E5</t>
        </is>
      </c>
      <c r="F27">
        <v>659.255</v>
      </c>
      <c r="G27">
        <v>10.278</v>
      </c>
      <c r="H27">
        <v>3.132</v>
      </c>
      <c r="I27">
        <v>0.184</v>
      </c>
      <c r="J27">
        <v>0.178</v>
      </c>
      <c r="K27" t="inlineStr">
        <is>
          <t>First-pass station; cut undersize and tune after bisque.</t>
        </is>
      </c>
    </row>
    <row r="28">
      <c r="A28" t="inlineStr">
        <is>
          <t>SCF-C5-01</t>
        </is>
      </c>
      <c r="B28" t="inlineStr">
        <is>
          <t>C5</t>
        </is>
      </c>
      <c r="C28">
        <v>3</v>
      </c>
      <c r="D28">
        <v>5</v>
      </c>
      <c r="E28" t="inlineStr">
        <is>
          <t>F5</t>
        </is>
      </c>
      <c r="F28">
        <v>698.456</v>
      </c>
      <c r="G28">
        <v>9.701</v>
      </c>
      <c r="H28">
        <v>3.709</v>
      </c>
      <c r="I28">
        <v>0.195</v>
      </c>
      <c r="J28">
        <v>0.188</v>
      </c>
      <c r="K28" t="inlineStr">
        <is>
          <t>First-pass station; cut undersize and tune after bisque.</t>
        </is>
      </c>
    </row>
    <row r="29">
      <c r="A29" t="inlineStr">
        <is>
          <t>SCF-C5-01</t>
        </is>
      </c>
      <c r="B29" t="inlineStr">
        <is>
          <t>C5</t>
        </is>
      </c>
      <c r="C29">
        <v>4</v>
      </c>
      <c r="D29">
        <v>7</v>
      </c>
      <c r="E29" t="inlineStr">
        <is>
          <t>G5</t>
        </is>
      </c>
      <c r="F29">
        <v>783.991</v>
      </c>
      <c r="G29">
        <v>8.643</v>
      </c>
      <c r="H29">
        <v>4.768</v>
      </c>
      <c r="I29">
        <v>0.205</v>
      </c>
      <c r="J29">
        <v>0.198</v>
      </c>
      <c r="K29" t="inlineStr">
        <is>
          <t>First-pass station; cut undersize and tune after bisque.</t>
        </is>
      </c>
    </row>
    <row r="30">
      <c r="A30" t="inlineStr">
        <is>
          <t>SCF-C5-01</t>
        </is>
      </c>
      <c r="B30" t="inlineStr">
        <is>
          <t>C5</t>
        </is>
      </c>
      <c r="C30">
        <v>5</v>
      </c>
      <c r="D30">
        <v>9</v>
      </c>
      <c r="E30" t="inlineStr">
        <is>
          <t>A5</t>
        </is>
      </c>
      <c r="F30">
        <v>880.0</v>
      </c>
      <c r="G30">
        <v>7.7</v>
      </c>
      <c r="H30">
        <v>5.711</v>
      </c>
      <c r="I30">
        <v>0.22</v>
      </c>
      <c r="J30">
        <v>0.213</v>
      </c>
      <c r="K30" t="inlineStr">
        <is>
          <t>First-pass station; cut undersize and tune after bisque.</t>
        </is>
      </c>
    </row>
    <row r="31">
      <c r="A31" t="inlineStr">
        <is>
          <t>SCF-C5-01</t>
        </is>
      </c>
      <c r="B31" t="inlineStr">
        <is>
          <t>C5</t>
        </is>
      </c>
      <c r="C31">
        <v>6</v>
      </c>
      <c r="D31">
        <v>11</v>
      </c>
      <c r="E31" t="inlineStr">
        <is>
          <t>B5</t>
        </is>
      </c>
      <c r="F31">
        <v>987.767</v>
      </c>
      <c r="G31">
        <v>6.86</v>
      </c>
      <c r="H31">
        <v>6.551</v>
      </c>
      <c r="I31">
        <v>0.236</v>
      </c>
      <c r="J31">
        <v>0.227</v>
      </c>
      <c r="K31" t="inlineStr">
        <is>
          <t>First-pass station; cut undersize and tune after bisque.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phase</t>
        </is>
      </c>
      <c r="C1" t="inlineStr">
        <is>
          <t>instrument_id</t>
        </is>
      </c>
      <c r="D1" t="inlineStr">
        <is>
          <t>clay_body</t>
        </is>
      </c>
      <c r="E1" t="inlineStr">
        <is>
          <t>wall_target</t>
        </is>
      </c>
      <c r="F1" t="inlineStr">
        <is>
          <t>bore_profile</t>
        </is>
      </c>
      <c r="G1" t="inlineStr">
        <is>
          <t>embouchure_geometry</t>
        </is>
      </c>
      <c r="H1" t="inlineStr">
        <is>
          <t>mold_orientation</t>
        </is>
      </c>
      <c r="I1" t="inlineStr">
        <is>
          <t>replicate</t>
        </is>
      </c>
      <c r="J1" t="inlineStr">
        <is>
          <t>primary_response</t>
        </is>
      </c>
      <c r="K1" t="inlineStr">
        <is>
          <t>decision_rule</t>
        </is>
      </c>
    </row>
    <row r="2">
      <c r="A2" t="inlineStr">
        <is>
          <t>SCF-R1-01</t>
        </is>
      </c>
      <c r="B2" t="inlineStr">
        <is>
          <t>Round 1 screening</t>
        </is>
      </c>
      <c r="C2" t="inlineStr">
        <is>
          <t>SCF-D4-01</t>
        </is>
      </c>
      <c r="D2" t="inlineStr">
        <is>
          <t>Cone 6 stoneware</t>
        </is>
      </c>
      <c r="E2" t="inlineStr">
        <is>
          <t>thin drain</t>
        </is>
      </c>
      <c r="F2" t="inlineStr">
        <is>
          <t>cylindrical</t>
        </is>
      </c>
      <c r="G2" t="inlineStr">
        <is>
          <t>round/standard oval</t>
        </is>
      </c>
      <c r="H2" t="inlineStr">
        <is>
          <t>horizontal drain</t>
        </is>
      </c>
      <c r="I2" t="inlineStr">
        <is>
          <t>screening</t>
        </is>
      </c>
      <c r="J2" t="inlineStr">
        <is>
          <t>X/Y/Z shrink, playable response, cents error</t>
        </is>
      </c>
      <c r="K2" t="inlineStr">
        <is>
          <t>Keep if no cracks, first octave speaks, median cents abs &lt;= 35 after bisque tune.</t>
        </is>
      </c>
    </row>
    <row r="3">
      <c r="A3" t="inlineStr">
        <is>
          <t>SCF-R1-02</t>
        </is>
      </c>
      <c r="B3" t="inlineStr">
        <is>
          <t>Round 1 screening</t>
        </is>
      </c>
      <c r="C3" t="inlineStr">
        <is>
          <t>SCF-D4-01</t>
        </is>
      </c>
      <c r="D3" t="inlineStr">
        <is>
          <t>Cone 6 stoneware</t>
        </is>
      </c>
      <c r="E3" t="inlineStr">
        <is>
          <t>nominal drain</t>
        </is>
      </c>
      <c r="F3" t="inlineStr">
        <is>
          <t>mild taper</t>
        </is>
      </c>
      <c r="G3" t="inlineStr">
        <is>
          <t>long oval</t>
        </is>
      </c>
      <c r="H3" t="inlineStr">
        <is>
          <t>vertical drain</t>
        </is>
      </c>
      <c r="I3" t="inlineStr">
        <is>
          <t>screening</t>
        </is>
      </c>
      <c r="J3" t="inlineStr">
        <is>
          <t>X/Y/Z shrink, playable response, cents error</t>
        </is>
      </c>
      <c r="K3" t="inlineStr">
        <is>
          <t>Keep if no cracks, first octave speaks, median cents abs &lt;= 35 after bisque tune.</t>
        </is>
      </c>
    </row>
    <row r="4">
      <c r="A4" t="inlineStr">
        <is>
          <t>SCF-R1-03</t>
        </is>
      </c>
      <c r="B4" t="inlineStr">
        <is>
          <t>Round 1 screening</t>
        </is>
      </c>
      <c r="C4" t="inlineStr">
        <is>
          <t>SCF-D4-01</t>
        </is>
      </c>
      <c r="D4" t="inlineStr">
        <is>
          <t>Cone 6 stoneware</t>
        </is>
      </c>
      <c r="E4" t="inlineStr">
        <is>
          <t>thick drain</t>
        </is>
      </c>
      <c r="F4" t="inlineStr">
        <is>
          <t>cylindrical</t>
        </is>
      </c>
      <c r="G4" t="inlineStr">
        <is>
          <t>round/standard oval</t>
        </is>
      </c>
      <c r="H4" t="inlineStr">
        <is>
          <t>horizontal drain</t>
        </is>
      </c>
      <c r="I4" t="inlineStr">
        <is>
          <t>screening</t>
        </is>
      </c>
      <c r="J4" t="inlineStr">
        <is>
          <t>X/Y/Z shrink, playable response, cents error</t>
        </is>
      </c>
      <c r="K4" t="inlineStr">
        <is>
          <t>Keep if no cracks, first octave speaks, median cents abs &lt;= 35 after bisque tune.</t>
        </is>
      </c>
    </row>
    <row r="5">
      <c r="A5" t="inlineStr">
        <is>
          <t>SCF-R1-04</t>
        </is>
      </c>
      <c r="B5" t="inlineStr">
        <is>
          <t>Round 1 screening</t>
        </is>
      </c>
      <c r="C5" t="inlineStr">
        <is>
          <t>SCF-D4-01</t>
        </is>
      </c>
      <c r="D5" t="inlineStr">
        <is>
          <t>Cone 6 porcelain</t>
        </is>
      </c>
      <c r="E5" t="inlineStr">
        <is>
          <t>thin drain</t>
        </is>
      </c>
      <c r="F5" t="inlineStr">
        <is>
          <t>mild taper</t>
        </is>
      </c>
      <c r="G5" t="inlineStr">
        <is>
          <t>round/standard oval</t>
        </is>
      </c>
      <c r="H5" t="inlineStr">
        <is>
          <t>vertical drain</t>
        </is>
      </c>
      <c r="I5" t="inlineStr">
        <is>
          <t>screening</t>
        </is>
      </c>
      <c r="J5" t="inlineStr">
        <is>
          <t>X/Y/Z shrink, playable response, cents error</t>
        </is>
      </c>
      <c r="K5" t="inlineStr">
        <is>
          <t>Keep if no cracks, first octave speaks, median cents abs &lt;= 35 after bisque tune.</t>
        </is>
      </c>
    </row>
    <row r="6">
      <c r="A6" t="inlineStr">
        <is>
          <t>SCF-R1-05</t>
        </is>
      </c>
      <c r="B6" t="inlineStr">
        <is>
          <t>Round 1 screening</t>
        </is>
      </c>
      <c r="C6" t="inlineStr">
        <is>
          <t>SCF-D4-01</t>
        </is>
      </c>
      <c r="D6" t="inlineStr">
        <is>
          <t>Cone 6 porcelain</t>
        </is>
      </c>
      <c r="E6" t="inlineStr">
        <is>
          <t>nominal drain</t>
        </is>
      </c>
      <c r="F6" t="inlineStr">
        <is>
          <t>cylindrical</t>
        </is>
      </c>
      <c r="G6" t="inlineStr">
        <is>
          <t>long oval</t>
        </is>
      </c>
      <c r="H6" t="inlineStr">
        <is>
          <t>horizontal drain</t>
        </is>
      </c>
      <c r="I6" t="inlineStr">
        <is>
          <t>screening</t>
        </is>
      </c>
      <c r="J6" t="inlineStr">
        <is>
          <t>X/Y/Z shrink, playable response, cents error</t>
        </is>
      </c>
      <c r="K6" t="inlineStr">
        <is>
          <t>Keep if no cracks, first octave speaks, median cents abs &lt;= 35 after bisque tune.</t>
        </is>
      </c>
    </row>
    <row r="7">
      <c r="A7" t="inlineStr">
        <is>
          <t>SCF-R1-06</t>
        </is>
      </c>
      <c r="B7" t="inlineStr">
        <is>
          <t>Round 1 screening</t>
        </is>
      </c>
      <c r="C7" t="inlineStr">
        <is>
          <t>SCF-D4-01</t>
        </is>
      </c>
      <c r="D7" t="inlineStr">
        <is>
          <t>Cone 6 porcelain</t>
        </is>
      </c>
      <c r="E7" t="inlineStr">
        <is>
          <t>thick drain</t>
        </is>
      </c>
      <c r="F7" t="inlineStr">
        <is>
          <t>mild taper</t>
        </is>
      </c>
      <c r="G7" t="inlineStr">
        <is>
          <t>round/standard oval</t>
        </is>
      </c>
      <c r="H7" t="inlineStr">
        <is>
          <t>vertical drain</t>
        </is>
      </c>
      <c r="I7" t="inlineStr">
        <is>
          <t>screening</t>
        </is>
      </c>
      <c r="J7" t="inlineStr">
        <is>
          <t>X/Y/Z shrink, playable response, cents error</t>
        </is>
      </c>
      <c r="K7" t="inlineStr">
        <is>
          <t>Keep if no cracks, first octave speaks, median cents abs &lt;= 35 after bisque tune.</t>
        </is>
      </c>
    </row>
    <row r="8">
      <c r="A8" t="inlineStr">
        <is>
          <t>SCF-R1-07</t>
        </is>
      </c>
      <c r="B8" t="inlineStr">
        <is>
          <t>Round 1 screening</t>
        </is>
      </c>
      <c r="C8" t="inlineStr">
        <is>
          <t>SCF-G4-01</t>
        </is>
      </c>
      <c r="D8" t="inlineStr">
        <is>
          <t>Cone 6 stoneware</t>
        </is>
      </c>
      <c r="E8" t="inlineStr">
        <is>
          <t>thin drain</t>
        </is>
      </c>
      <c r="F8" t="inlineStr">
        <is>
          <t>mild taper</t>
        </is>
      </c>
      <c r="G8" t="inlineStr">
        <is>
          <t>long oval</t>
        </is>
      </c>
      <c r="H8" t="inlineStr">
        <is>
          <t>horizontal drain</t>
        </is>
      </c>
      <c r="I8" t="inlineStr">
        <is>
          <t>screening</t>
        </is>
      </c>
      <c r="J8" t="inlineStr">
        <is>
          <t>X/Y/Z shrink, playable response, cents error</t>
        </is>
      </c>
      <c r="K8" t="inlineStr">
        <is>
          <t>Keep if no cracks, first octave speaks, median cents abs &lt;= 35 after bisque tune.</t>
        </is>
      </c>
    </row>
    <row r="9">
      <c r="A9" t="inlineStr">
        <is>
          <t>SCF-R1-08</t>
        </is>
      </c>
      <c r="B9" t="inlineStr">
        <is>
          <t>Round 1 screening</t>
        </is>
      </c>
      <c r="C9" t="inlineStr">
        <is>
          <t>SCF-G4-01</t>
        </is>
      </c>
      <c r="D9" t="inlineStr">
        <is>
          <t>Cone 6 stoneware</t>
        </is>
      </c>
      <c r="E9" t="inlineStr">
        <is>
          <t>nominal drain</t>
        </is>
      </c>
      <c r="F9" t="inlineStr">
        <is>
          <t>cylindrical</t>
        </is>
      </c>
      <c r="G9" t="inlineStr">
        <is>
          <t>round/standard oval</t>
        </is>
      </c>
      <c r="H9" t="inlineStr">
        <is>
          <t>vertical drain</t>
        </is>
      </c>
      <c r="I9" t="inlineStr">
        <is>
          <t>screening</t>
        </is>
      </c>
      <c r="J9" t="inlineStr">
        <is>
          <t>X/Y/Z shrink, playable response, cents error</t>
        </is>
      </c>
      <c r="K9" t="inlineStr">
        <is>
          <t>Keep if no cracks, first octave speaks, median cents abs &lt;= 35 after bisque tune.</t>
        </is>
      </c>
    </row>
    <row r="10">
      <c r="A10" t="inlineStr">
        <is>
          <t>SCF-R1-09</t>
        </is>
      </c>
      <c r="B10" t="inlineStr">
        <is>
          <t>Round 1 screening</t>
        </is>
      </c>
      <c r="C10" t="inlineStr">
        <is>
          <t>SCF-G4-01</t>
        </is>
      </c>
      <c r="D10" t="inlineStr">
        <is>
          <t>Cone 6 stoneware</t>
        </is>
      </c>
      <c r="E10" t="inlineStr">
        <is>
          <t>thick drain</t>
        </is>
      </c>
      <c r="F10" t="inlineStr">
        <is>
          <t>mild taper</t>
        </is>
      </c>
      <c r="G10" t="inlineStr">
        <is>
          <t>long oval</t>
        </is>
      </c>
      <c r="H10" t="inlineStr">
        <is>
          <t>horizontal drain</t>
        </is>
      </c>
      <c r="I10" t="inlineStr">
        <is>
          <t>screening</t>
        </is>
      </c>
      <c r="J10" t="inlineStr">
        <is>
          <t>X/Y/Z shrink, playable response, cents error</t>
        </is>
      </c>
      <c r="K10" t="inlineStr">
        <is>
          <t>Keep if no cracks, first octave speaks, median cents abs &lt;= 35 after bisque tune.</t>
        </is>
      </c>
    </row>
    <row r="11">
      <c r="A11" t="inlineStr">
        <is>
          <t>SCF-R1-10</t>
        </is>
      </c>
      <c r="B11" t="inlineStr">
        <is>
          <t>Round 1 screening</t>
        </is>
      </c>
      <c r="C11" t="inlineStr">
        <is>
          <t>SCF-G4-01</t>
        </is>
      </c>
      <c r="D11" t="inlineStr">
        <is>
          <t>Cone 6 porcelain</t>
        </is>
      </c>
      <c r="E11" t="inlineStr">
        <is>
          <t>thin drain</t>
        </is>
      </c>
      <c r="F11" t="inlineStr">
        <is>
          <t>cylindrical</t>
        </is>
      </c>
      <c r="G11" t="inlineStr">
        <is>
          <t>long oval</t>
        </is>
      </c>
      <c r="H11" t="inlineStr">
        <is>
          <t>vertical drain</t>
        </is>
      </c>
      <c r="I11" t="inlineStr">
        <is>
          <t>screening</t>
        </is>
      </c>
      <c r="J11" t="inlineStr">
        <is>
          <t>X/Y/Z shrink, playable response, cents error</t>
        </is>
      </c>
      <c r="K11" t="inlineStr">
        <is>
          <t>Keep if no cracks, first octave speaks, median cents abs &lt;= 35 after bisque tune.</t>
        </is>
      </c>
    </row>
    <row r="12">
      <c r="A12" t="inlineStr">
        <is>
          <t>SCF-R1-11</t>
        </is>
      </c>
      <c r="B12" t="inlineStr">
        <is>
          <t>Round 1 screening</t>
        </is>
      </c>
      <c r="C12" t="inlineStr">
        <is>
          <t>SCF-G4-01</t>
        </is>
      </c>
      <c r="D12" t="inlineStr">
        <is>
          <t>Cone 6 porcelain</t>
        </is>
      </c>
      <c r="E12" t="inlineStr">
        <is>
          <t>nominal drain</t>
        </is>
      </c>
      <c r="F12" t="inlineStr">
        <is>
          <t>mild taper</t>
        </is>
      </c>
      <c r="G12" t="inlineStr">
        <is>
          <t>round/standard oval</t>
        </is>
      </c>
      <c r="H12" t="inlineStr">
        <is>
          <t>horizontal drain</t>
        </is>
      </c>
      <c r="I12" t="inlineStr">
        <is>
          <t>screening</t>
        </is>
      </c>
      <c r="J12" t="inlineStr">
        <is>
          <t>X/Y/Z shrink, playable response, cents error</t>
        </is>
      </c>
      <c r="K12" t="inlineStr">
        <is>
          <t>Keep if no cracks, first octave speaks, median cents abs &lt;= 35 after bisque tune.</t>
        </is>
      </c>
    </row>
    <row r="13">
      <c r="A13" t="inlineStr">
        <is>
          <t>SCF-R1-12</t>
        </is>
      </c>
      <c r="B13" t="inlineStr">
        <is>
          <t>Round 1 screening</t>
        </is>
      </c>
      <c r="C13" t="inlineStr">
        <is>
          <t>SCF-G4-01</t>
        </is>
      </c>
      <c r="D13" t="inlineStr">
        <is>
          <t>Cone 6 porcelain</t>
        </is>
      </c>
      <c r="E13" t="inlineStr">
        <is>
          <t>thick drain</t>
        </is>
      </c>
      <c r="F13" t="inlineStr">
        <is>
          <t>cylindrical</t>
        </is>
      </c>
      <c r="G13" t="inlineStr">
        <is>
          <t>long oval</t>
        </is>
      </c>
      <c r="H13" t="inlineStr">
        <is>
          <t>vertical drain</t>
        </is>
      </c>
      <c r="I13" t="inlineStr">
        <is>
          <t>screening</t>
        </is>
      </c>
      <c r="J13" t="inlineStr">
        <is>
          <t>X/Y/Z shrink, playable response, cents error</t>
        </is>
      </c>
      <c r="K13" t="inlineStr">
        <is>
          <t>Keep if no cracks, first octave speaks, median cents abs &lt;= 35 after bisque tune.</t>
        </is>
      </c>
    </row>
    <row r="14">
      <c r="A14" t="inlineStr">
        <is>
          <t>SCF-R1-13</t>
        </is>
      </c>
      <c r="B14" t="inlineStr">
        <is>
          <t>Round 1 screening</t>
        </is>
      </c>
      <c r="C14" t="inlineStr">
        <is>
          <t>SCF-C5-01</t>
        </is>
      </c>
      <c r="D14" t="inlineStr">
        <is>
          <t>Cone 6 stoneware</t>
        </is>
      </c>
      <c r="E14" t="inlineStr">
        <is>
          <t>thin drain</t>
        </is>
      </c>
      <c r="F14" t="inlineStr">
        <is>
          <t>cylindrical</t>
        </is>
      </c>
      <c r="G14" t="inlineStr">
        <is>
          <t>round/standard oval</t>
        </is>
      </c>
      <c r="H14" t="inlineStr">
        <is>
          <t>horizontal drain</t>
        </is>
      </c>
      <c r="I14" t="inlineStr">
        <is>
          <t>screening</t>
        </is>
      </c>
      <c r="J14" t="inlineStr">
        <is>
          <t>X/Y/Z shrink, playable response, cents error</t>
        </is>
      </c>
      <c r="K14" t="inlineStr">
        <is>
          <t>Keep if no cracks, first octave speaks, median cents abs &lt;= 35 after bisque tune.</t>
        </is>
      </c>
    </row>
    <row r="15">
      <c r="A15" t="inlineStr">
        <is>
          <t>SCF-R1-14</t>
        </is>
      </c>
      <c r="B15" t="inlineStr">
        <is>
          <t>Round 1 screening</t>
        </is>
      </c>
      <c r="C15" t="inlineStr">
        <is>
          <t>SCF-C5-01</t>
        </is>
      </c>
      <c r="D15" t="inlineStr">
        <is>
          <t>Cone 6 stoneware</t>
        </is>
      </c>
      <c r="E15" t="inlineStr">
        <is>
          <t>nominal drain</t>
        </is>
      </c>
      <c r="F15" t="inlineStr">
        <is>
          <t>mild taper</t>
        </is>
      </c>
      <c r="G15" t="inlineStr">
        <is>
          <t>long oval</t>
        </is>
      </c>
      <c r="H15" t="inlineStr">
        <is>
          <t>vertical drain</t>
        </is>
      </c>
      <c r="I15" t="inlineStr">
        <is>
          <t>screening</t>
        </is>
      </c>
      <c r="J15" t="inlineStr">
        <is>
          <t>X/Y/Z shrink, playable response, cents error</t>
        </is>
      </c>
      <c r="K15" t="inlineStr">
        <is>
          <t>Keep if no cracks, first octave speaks, median cents abs &lt;= 35 after bisque tune.</t>
        </is>
      </c>
    </row>
    <row r="16">
      <c r="A16" t="inlineStr">
        <is>
          <t>SCF-R1-15</t>
        </is>
      </c>
      <c r="B16" t="inlineStr">
        <is>
          <t>Round 1 screening</t>
        </is>
      </c>
      <c r="C16" t="inlineStr">
        <is>
          <t>SCF-C5-01</t>
        </is>
      </c>
      <c r="D16" t="inlineStr">
        <is>
          <t>Cone 6 stoneware</t>
        </is>
      </c>
      <c r="E16" t="inlineStr">
        <is>
          <t>thick drain</t>
        </is>
      </c>
      <c r="F16" t="inlineStr">
        <is>
          <t>cylindrical</t>
        </is>
      </c>
      <c r="G16" t="inlineStr">
        <is>
          <t>round/standard oval</t>
        </is>
      </c>
      <c r="H16" t="inlineStr">
        <is>
          <t>horizontal drain</t>
        </is>
      </c>
      <c r="I16" t="inlineStr">
        <is>
          <t>screening</t>
        </is>
      </c>
      <c r="J16" t="inlineStr">
        <is>
          <t>X/Y/Z shrink, playable response, cents error</t>
        </is>
      </c>
      <c r="K16" t="inlineStr">
        <is>
          <t>Keep if no cracks, first octave speaks, median cents abs &lt;= 35 after bisque tune.</t>
        </is>
      </c>
    </row>
    <row r="17">
      <c r="A17" t="inlineStr">
        <is>
          <t>SCF-R1-16</t>
        </is>
      </c>
      <c r="B17" t="inlineStr">
        <is>
          <t>Round 1 screening</t>
        </is>
      </c>
      <c r="C17" t="inlineStr">
        <is>
          <t>SCF-C5-01</t>
        </is>
      </c>
      <c r="D17" t="inlineStr">
        <is>
          <t>Cone 6 porcelain</t>
        </is>
      </c>
      <c r="E17" t="inlineStr">
        <is>
          <t>thin drain</t>
        </is>
      </c>
      <c r="F17" t="inlineStr">
        <is>
          <t>mild taper</t>
        </is>
      </c>
      <c r="G17" t="inlineStr">
        <is>
          <t>round/standard oval</t>
        </is>
      </c>
      <c r="H17" t="inlineStr">
        <is>
          <t>vertical drain</t>
        </is>
      </c>
      <c r="I17" t="inlineStr">
        <is>
          <t>screening</t>
        </is>
      </c>
      <c r="J17" t="inlineStr">
        <is>
          <t>X/Y/Z shrink, playable response, cents error</t>
        </is>
      </c>
      <c r="K17" t="inlineStr">
        <is>
          <t>Keep if no cracks, first octave speaks, median cents abs &lt;= 35 after bisque tune.</t>
        </is>
      </c>
    </row>
    <row r="18">
      <c r="A18" t="inlineStr">
        <is>
          <t>SCF-R1-17</t>
        </is>
      </c>
      <c r="B18" t="inlineStr">
        <is>
          <t>Round 1 screening</t>
        </is>
      </c>
      <c r="C18" t="inlineStr">
        <is>
          <t>SCF-C5-01</t>
        </is>
      </c>
      <c r="D18" t="inlineStr">
        <is>
          <t>Cone 6 porcelain</t>
        </is>
      </c>
      <c r="E18" t="inlineStr">
        <is>
          <t>nominal drain</t>
        </is>
      </c>
      <c r="F18" t="inlineStr">
        <is>
          <t>cylindrical</t>
        </is>
      </c>
      <c r="G18" t="inlineStr">
        <is>
          <t>long oval</t>
        </is>
      </c>
      <c r="H18" t="inlineStr">
        <is>
          <t>horizontal drain</t>
        </is>
      </c>
      <c r="I18" t="inlineStr">
        <is>
          <t>screening</t>
        </is>
      </c>
      <c r="J18" t="inlineStr">
        <is>
          <t>X/Y/Z shrink, playable response, cents error</t>
        </is>
      </c>
      <c r="K18" t="inlineStr">
        <is>
          <t>Keep if no cracks, first octave speaks, median cents abs &lt;= 35 after bisque tune.</t>
        </is>
      </c>
    </row>
    <row r="19">
      <c r="A19" t="inlineStr">
        <is>
          <t>SCF-R1-18</t>
        </is>
      </c>
      <c r="B19" t="inlineStr">
        <is>
          <t>Round 1 screening</t>
        </is>
      </c>
      <c r="C19" t="inlineStr">
        <is>
          <t>SCF-C5-01</t>
        </is>
      </c>
      <c r="D19" t="inlineStr">
        <is>
          <t>Cone 6 porcelain</t>
        </is>
      </c>
      <c r="E19" t="inlineStr">
        <is>
          <t>thick drain</t>
        </is>
      </c>
      <c r="F19" t="inlineStr">
        <is>
          <t>mild taper</t>
        </is>
      </c>
      <c r="G19" t="inlineStr">
        <is>
          <t>round/standard oval</t>
        </is>
      </c>
      <c r="H19" t="inlineStr">
        <is>
          <t>vertical drain</t>
        </is>
      </c>
      <c r="I19" t="inlineStr">
        <is>
          <t>screening</t>
        </is>
      </c>
      <c r="J19" t="inlineStr">
        <is>
          <t>X/Y/Z shrink, playable response, cents error</t>
        </is>
      </c>
      <c r="K19" t="inlineStr">
        <is>
          <t>Keep if no cracks, first octave speaks, median cents abs &lt;= 35 after bisque tune.</t>
        </is>
      </c>
    </row>
    <row r="20">
      <c r="A20" t="inlineStr">
        <is>
          <t>SCF-R1-FAM-F4</t>
        </is>
      </c>
      <c r="B20" t="inlineStr">
        <is>
          <t>Round 1 family check</t>
        </is>
      </c>
      <c r="C20" t="inlineStr">
        <is>
          <t>SCF-F4-01</t>
        </is>
      </c>
      <c r="D20" t="inlineStr">
        <is>
          <t>Best available from early screening</t>
        </is>
      </c>
      <c r="E20" t="inlineStr">
        <is>
          <t>nominal drain</t>
        </is>
      </c>
      <c r="F20" t="inlineStr">
        <is>
          <t>winner or cylindrical fallback</t>
        </is>
      </c>
      <c r="G20" t="inlineStr">
        <is>
          <t>winner or standard oval fallback</t>
        </is>
      </c>
      <c r="H20" t="inlineStr">
        <is>
          <t>winner or horizontal drain fallback</t>
        </is>
      </c>
      <c r="I20" t="inlineStr">
        <is>
          <t>family fill-in</t>
        </is>
      </c>
      <c r="J20" t="inlineStr">
        <is>
          <t>Interpolation across family range</t>
        </is>
      </c>
      <c r="K20" t="inlineStr">
        <is>
          <t>Use to test whether shrink model interpolates between D4/G4/C5.</t>
        </is>
      </c>
    </row>
    <row r="21">
      <c r="A21" t="inlineStr">
        <is>
          <t>SCF-R1-FAM-A4</t>
        </is>
      </c>
      <c r="B21" t="inlineStr">
        <is>
          <t>Round 1 family check</t>
        </is>
      </c>
      <c r="C21" t="inlineStr">
        <is>
          <t>SCF-A4-01</t>
        </is>
      </c>
      <c r="D21" t="inlineStr">
        <is>
          <t>Best available from early screening</t>
        </is>
      </c>
      <c r="E21" t="inlineStr">
        <is>
          <t>nominal drain</t>
        </is>
      </c>
      <c r="F21" t="inlineStr">
        <is>
          <t>winner or cylindrical fallback</t>
        </is>
      </c>
      <c r="G21" t="inlineStr">
        <is>
          <t>winner or standard oval fallback</t>
        </is>
      </c>
      <c r="H21" t="inlineStr">
        <is>
          <t>winner or horizontal drain fallback</t>
        </is>
      </c>
      <c r="I21" t="inlineStr">
        <is>
          <t>family fill-in</t>
        </is>
      </c>
      <c r="J21" t="inlineStr">
        <is>
          <t>Interpolation across family range</t>
        </is>
      </c>
      <c r="K21" t="inlineStr">
        <is>
          <t>Use to test whether shrink model interpolates between G4/C5.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build_id</t>
        </is>
      </c>
      <c r="B1" t="inlineStr">
        <is>
          <t>instrument_id</t>
        </is>
      </c>
      <c r="C1" t="inlineStr">
        <is>
          <t>material_batch</t>
        </is>
      </c>
      <c r="D1" t="inlineStr">
        <is>
          <t>mold_id</t>
        </is>
      </c>
      <c r="E1" t="inlineStr">
        <is>
          <t>axis</t>
        </is>
      </c>
      <c r="F1" t="inlineStr">
        <is>
          <t>feature</t>
        </is>
      </c>
      <c r="G1" t="inlineStr">
        <is>
          <t>master_target_in</t>
        </is>
      </c>
      <c r="H1" t="inlineStr">
        <is>
          <t>master_measured_in</t>
        </is>
      </c>
      <c r="I1" t="inlineStr">
        <is>
          <t>wet_green_measured_in</t>
        </is>
      </c>
      <c r="J1" t="inlineStr">
        <is>
          <t>bone_dry_measured_in</t>
        </is>
      </c>
      <c r="K1" t="inlineStr">
        <is>
          <t>bisque_measured_in</t>
        </is>
      </c>
      <c r="L1" t="inlineStr">
        <is>
          <t>glaze_measured_in</t>
        </is>
      </c>
      <c r="M1" t="inlineStr">
        <is>
          <t>observed_total_shrink</t>
        </is>
      </c>
      <c r="N1" t="inlineStr">
        <is>
          <t>round2_scale_multiplier</t>
        </is>
      </c>
      <c r="O1" t="inlineStr">
        <is>
          <t>target_frequency_hz</t>
        </is>
      </c>
      <c r="P1" t="inlineStr">
        <is>
          <t>measured_frequency_hz</t>
        </is>
      </c>
      <c r="Q1" t="inlineStr">
        <is>
          <t>cents_error</t>
        </is>
      </c>
      <c r="R1" t="inlineStr">
        <is>
          <t>notes</t>
        </is>
      </c>
    </row>
    <row r="2">
      <c r="A2" t="inlineStr">
        <is>
          <t>SCF-R1-01-A</t>
        </is>
      </c>
      <c r="B2" t="inlineStr">
        <is>
          <t>SCF-D4-01</t>
        </is>
      </c>
      <c r="E2" t="inlineStr">
        <is>
          <t>X</t>
        </is>
      </c>
      <c r="F2" t="inlineStr">
        <is>
          <t>overall_length</t>
        </is>
      </c>
      <c r="M2">
        <f>IF(OR(H2="",L2=""),"",1-L2/H2)</f>
      </c>
      <c r="N2">
        <f>IF(OR(G2="",L2=""),"",G2/L2)</f>
      </c>
      <c r="Q2">
        <f>IF(OR(O2="",P2=""),"",1200*LOG(P2/O2,2))</f>
      </c>
      <c r="R2" t="inlineStr">
        <is>
          <t>Duplicate rows for each feature/axis/note.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axis</t>
        </is>
      </c>
      <c r="B1" t="inlineStr">
        <is>
          <t>initial_assumed_shrink</t>
        </is>
      </c>
      <c r="C1" t="inlineStr">
        <is>
          <t>measured_mean_shrink</t>
        </is>
      </c>
      <c r="D1" t="inlineStr">
        <is>
          <t>measured_std_dev</t>
        </is>
      </c>
      <c r="E1" t="inlineStr">
        <is>
          <t>recommended_round2_shrink</t>
        </is>
      </c>
      <c r="F1" t="inlineStr">
        <is>
          <t>apply_to_features</t>
        </is>
      </c>
      <c r="G1" t="inlineStr">
        <is>
          <t>notes</t>
        </is>
      </c>
    </row>
    <row r="2">
      <c r="A2" t="inlineStr">
        <is>
          <t>X length</t>
        </is>
      </c>
      <c r="B2">
        <v>0.12</v>
      </c>
      <c r="E2">
        <f>IF(C2="",B2,C2)</f>
      </c>
      <c r="F2" t="inlineStr">
        <is>
          <t>overall length, hole station X, embouchure station X</t>
        </is>
      </c>
      <c r="G2" t="inlineStr">
        <is>
          <t>Separate D4/G4/C5 if shrink depends on length or mold orientation.</t>
        </is>
      </c>
    </row>
    <row r="3">
      <c r="A3" t="inlineStr">
        <is>
          <t>Y width</t>
        </is>
      </c>
      <c r="B3">
        <v>0.12</v>
      </c>
      <c r="E3">
        <f>IF(C3="",B3,C3)</f>
      </c>
      <c r="F3" t="inlineStr">
        <is>
          <t>bore ID Y, OD Y, horizontal hole/embouchure dimensions</t>
        </is>
      </c>
      <c r="G3" t="inlineStr">
        <is>
          <t>Use bore rings to separate shrink from wall buildup.</t>
        </is>
      </c>
    </row>
    <row r="4">
      <c r="A4" t="inlineStr">
        <is>
          <t>Z height</t>
        </is>
      </c>
      <c r="B4">
        <v>0.12</v>
      </c>
      <c r="E4">
        <f>IF(C4="",B4,C4)</f>
      </c>
      <c r="F4" t="inlineStr">
        <is>
          <t>OD Z, wall thickness, vertical hole/embouchure dimensions</t>
        </is>
      </c>
      <c r="G4" t="inlineStr">
        <is>
          <t>Watch sag/ovalization separately from true shrink.</t>
        </is>
      </c>
    </row>
  </sheetData>
</worksheet>
</file>